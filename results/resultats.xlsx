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c050041d4042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ésultats" sheetId="1" r:id="Rba56c62a21274594"/>
    <x:sheet xmlns:r="http://schemas.openxmlformats.org/officeDocument/2006/relationships" name="Prévisions" sheetId="2" r:id="R409aca854db14783"/>
    <x:sheet xmlns:r="http://schemas.openxmlformats.org/officeDocument/2006/relationships" name="Exemple" sheetId="3" r:id="Rccb6fb14132445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"/>
    <x:numFmt numFmtId="202" formatCode="@"/>
    <x:numFmt numFmtId="203" formatCode="0.00%"/>
    <x:numFmt numFmtId="204" formatCode="0.0%"/>
  </x:numFmts>
  <x:fonts count="7">
    <x:font>
      <x:sz val="11"/>
      <x:name val="Carlito"/>
    </x:font>
    <x:font>
      <x:sz val="10"/>
      <x:color rgb="FF263746"/>
      <x:name val="Arial"/>
    </x:font>
    <x:font>
      <x:b/>
      <x:sz val="15"/>
      <x:color rgb="FF263746"/>
      <x:name val="Arial"/>
    </x:font>
    <x:font>
      <x:i/>
      <x:sz val="10"/>
      <x:color rgb="FF526274"/>
      <x:name val="Arial"/>
    </x:font>
    <x:font>
      <x:b/>
      <x:sz val="10"/>
      <x:color rgb="FFFFFFFF"/>
      <x:name val="Arial"/>
    </x:font>
    <x:font>
      <x:sz val="10"/>
      <x:color rgb="FF17659A"/>
      <x:name val="Arial"/>
    </x:font>
    <x:font>
      <x:b/>
      <x:sz val="10"/>
      <x:color rgb="FF20202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659A"/>
      </x:patternFill>
    </x:fill>
    <x:fill>
      <x:patternFill patternType="solid">
        <x:fgColor rgb="FFF1F5F8"/>
      </x:patternFill>
    </x:fill>
    <x:fill>
      <x:patternFill patternType="solid">
        <x:fgColor rgb="FFEDF4FA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200" fontId="1" fillId="3" borderId="0" xfId="0" applyNumberFormat="1" applyFont="1" applyFill="1" applyBorder="1" applyAlignment="1">
      <x:alignment horizontal="right"/>
    </x:xf>
    <x:xf numFmtId="201" fontId="1" fillId="3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/>
    <x:xf numFmtId="202" fontId="1" fillId="0" borderId="0" xfId="0" applyNumberFormat="1" applyFont="1" applyFill="1" applyBorder="1" applyAlignment="1">
      <x:alignment horizontal="left"/>
    </x:xf>
    <x:xf numFmtId="203" fontId="1" fillId="0" borderId="0" xfId="0" applyNumberFormat="1" applyFont="1" applyFill="1" applyBorder="1"/>
    <x:xf numFmtId="203" fontId="1" fillId="0" borderId="0" xfId="0" applyNumberFormat="1" applyFont="1" applyFill="1" applyBorder="1" applyAlignment="1">
      <x:alignment horizontal="right"/>
    </x:xf>
    <x:xf numFmtId="202" fontId="1" fillId="3" borderId="0" xfId="0" applyNumberFormat="1" applyFont="1" applyFill="1" applyBorder="1" applyAlignment="1">
      <x:alignment horizontal="left"/>
    </x:xf>
    <x:xf numFmtId="203" fontId="1" fillId="3" borderId="0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  <x:xf numFmtId="0" fontId="5" fillId="4" borderId="0" xfId="0" applyNumberFormat="1" applyFont="1" applyFill="1" applyBorder="1"/>
    <x:xf numFmtId="204" fontId="5" fillId="4" borderId="0" xfId="0" applyNumberFormat="1" applyFont="1" applyFill="1" applyBorder="1"/>
    <x:xf numFmtId="0" fontId="6" fillId="0" borderId="0" xfId="0" applyNumberFormat="1" applyFont="1" applyFill="1" applyBorder="1"/>
    <x:xf numFmtId="203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9bed18e9824038" /><Relationship Type="http://schemas.openxmlformats.org/officeDocument/2006/relationships/theme" Target="/xl/theme/theme1.xml" Id="Rc8e2ef555c084a64" /><Relationship Type="http://schemas.openxmlformats.org/officeDocument/2006/relationships/sharedStrings" Target="/xl/sharedStrings.xml" Id="R53642531005a4052" /><Relationship Type="http://schemas.openxmlformats.org/officeDocument/2006/relationships/worksheet" Target="/xl/worksheets/sheet1.xml" Id="Rba56c62a21274594" /><Relationship Type="http://schemas.openxmlformats.org/officeDocument/2006/relationships/worksheet" Target="/xl/worksheets/sheet2.xml" Id="R409aca854db14783" /><Relationship Type="http://schemas.openxmlformats.org/officeDocument/2006/relationships/worksheet" Target="/xl/worksheets/sheet3.xml" Id="Rccb6fb14132445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2" customHeight="1">
      <x:c r="A1" s="1"/>
      <x:c r="B1" s="1"/>
      <x:c r="C1" s="1"/>
      <x:c r="D1" s="1"/>
      <x:c r="E1" s="1"/>
      <x:c r="F1" s="1"/>
    </x:row>
    <x:row r="2" ht="22" customHeight="1">
      <x:c r="A2" s="2" t="str">
        <x:v>Un pays qui s’enrichit enrichit-il ses actionnaires ?</x:v>
      </x:c>
      <x:c r="B2" s="1"/>
      <x:c r="C2" s="1"/>
      <x:c r="D2" s="1"/>
      <x:c r="E2" s="1"/>
      <x:c r="F2" s="1"/>
    </x:row>
    <x:row r="3" ht="22" customHeight="1">
      <x:c r="A3" s="1"/>
      <x:c r="B3" s="1"/>
      <x:c r="C3" s="1"/>
      <x:c r="D3" s="1"/>
      <x:c r="E3" s="1"/>
      <x:c r="F3" s="1"/>
    </x:row>
    <x:row r="4" ht="22" customHeight="1">
      <x:c r="A4" s="3" t="str">
        <x:v>Moyennes nationales, mêmes années pour chaque pays d’une fenêtre</x:v>
      </x:c>
      <x:c r="B4" s="1"/>
      <x:c r="C4" s="1"/>
      <x:c r="D4" s="1"/>
      <x:c r="E4" s="1"/>
      <x:c r="F4" s="1"/>
    </x:row>
    <x:row r="5" ht="22" customHeight="1">
      <x:c r="A5" s="1" t="str">
        <x:v>Les tableaux sont des résultats calculés. L’exemple contient des formules modifiables.</x:v>
      </x:c>
      <x:c r="B5" s="1"/>
      <x:c r="C5" s="1"/>
      <x:c r="D5" s="1"/>
      <x:c r="E5" s="1"/>
      <x:c r="F5" s="1"/>
    </x:row>
    <x:row r="6" ht="22" customHeight="1">
      <x:c r="A6" s="1"/>
      <x:c r="B6" s="1"/>
      <x:c r="C6" s="1"/>
      <x:c r="D6" s="1"/>
      <x:c r="E6" s="1"/>
      <x:c r="F6" s="1"/>
    </x:row>
    <x:row r="7" ht="62" customHeight="1">
      <x:c r="A7" s="8" t="str">
        <x:v>Première année</x:v>
      </x:c>
      <x:c r="B7" s="8" t="str">
        <x:v>Dernière année</x:v>
      </x:c>
      <x:c r="C7" s="8" t="str">
        <x:v>Pays</x:v>
      </x:c>
      <x:c r="D7" s="8" t="str">
        <x:v>Corrélation des taux composés</x:v>
      </x:c>
      <x:c r="E7" s="8" t="str">
        <x:v>Corrélation des rangs</x:v>
      </x:c>
      <x:c r="F7" s="1"/>
    </x:row>
    <x:row r="8" ht="22" customHeight="1">
      <x:c r="A8" s="10" t="n">
        <x:v>1950</x:v>
      </x:c>
      <x:c r="B8" s="10" t="n">
        <x:v>2020</x:v>
      </x:c>
      <x:c r="C8" s="10" t="n">
        <x:v>16</x:v>
      </x:c>
      <x:c r="D8" s="12" t="n">
        <x:v>-0.2064729047</x:v>
      </x:c>
      <x:c r="E8" s="12" t="n">
        <x:v>-0.2117647059</x:v>
      </x:c>
      <x:c r="F8" s="1"/>
    </x:row>
    <x:row r="9" ht="22" customHeight="1">
      <x:c r="A9" s="13" t="n">
        <x:v>1900</x:v>
      </x:c>
      <x:c r="B9" s="13" t="n">
        <x:v>2011</x:v>
      </x:c>
      <x:c r="C9" s="13" t="n">
        <x:v>15</x:v>
      </x:c>
      <x:c r="D9" s="14" t="n">
        <x:v>-0.1738620565</x:v>
      </x:c>
      <x:c r="E9" s="14" t="n">
        <x:v>-0.1535714286</x:v>
      </x:c>
      <x:c r="F9" s="1"/>
    </x:row>
    <x:row r="10" ht="22" customHeight="1">
      <x:c r="A10" s="10" t="n">
        <x:v>1900</x:v>
      </x:c>
      <x:c r="B10" s="10" t="n">
        <x:v>1949</x:v>
      </x:c>
      <x:c r="C10" s="10" t="n">
        <x:v>15</x:v>
      </x:c>
      <x:c r="D10" s="12" t="n">
        <x:v>0.3844705485</x:v>
      </x:c>
      <x:c r="E10" s="12" t="n">
        <x:v>0.4035714286</x:v>
      </x:c>
      <x:c r="F10" s="1"/>
    </x:row>
    <x:row r="11" ht="22" customHeight="1">
      <x:c r="A11" s="13" t="n">
        <x:v>1950</x:v>
      </x:c>
      <x:c r="B11" s="13" t="n">
        <x:v>1984</x:v>
      </x:c>
      <x:c r="C11" s="13" t="n">
        <x:v>16</x:v>
      </x:c>
      <x:c r="D11" s="14" t="n">
        <x:v>0.0257343529</x:v>
      </x:c>
      <x:c r="E11" s="14" t="n">
        <x:v>-0.0470588235</x:v>
      </x:c>
      <x:c r="F11" s="1"/>
    </x:row>
    <x:row r="12" ht="22" customHeight="1">
      <x:c r="A12" s="10" t="n">
        <x:v>1985</x:v>
      </x:c>
      <x:c r="B12" s="10" t="n">
        <x:v>2020</x:v>
      </x:c>
      <x:c r="C12" s="10" t="n">
        <x:v>16</x:v>
      </x:c>
      <x:c r="D12" s="12" t="n">
        <x:v>0.2265911282</x:v>
      </x:c>
      <x:c r="E12" s="12" t="n">
        <x:v>0.1147058824</x:v>
      </x:c>
      <x:c r="F12" s="1"/>
    </x:row>
    <x:row r="13" ht="22" customHeight="1">
      <x:c r="A13" s="13" t="n">
        <x:v>2000</x:v>
      </x:c>
      <x:c r="B13" s="13" t="n">
        <x:v>2020</x:v>
      </x:c>
      <x:c r="C13" s="13" t="n">
        <x:v>16</x:v>
      </x:c>
      <x:c r="D13" s="14" t="n">
        <x:v>0.5445795912</x:v>
      </x:c>
      <x:c r="E13" s="14" t="n">
        <x:v>0.5205882353</x:v>
      </x:c>
      <x:c r="F13" s="1"/>
    </x:row>
    <x:row r="14" ht="22" customHeight="1">
      <x:c r="A14" s="1"/>
      <x:c r="B14" s="1"/>
      <x:c r="C14" s="1"/>
      <x:c r="D14" s="1"/>
      <x:c r="E14" s="1"/>
      <x:c r="F14" s="1"/>
    </x:row>
    <x:row r="15" ht="22" customHeight="1">
      <x:c r="A15" s="1"/>
      <x:c r="B15" s="1"/>
      <x:c r="C15" s="1"/>
      <x:c r="D15" s="1"/>
      <x:c r="E15" s="1"/>
      <x:c r="F15" s="1"/>
    </x:row>
    <x:row r="16" ht="22" customHeight="1">
      <x:c r="A16" s="1" t="str">
        <x:v>Sources, unités et conditions de réutilisation</x:v>
      </x:c>
      <x:c r="B16" s="1"/>
      <x:c r="C16" s="1"/>
      <x:c r="D16" s="1"/>
      <x:c r="E16" s="1"/>
      <x:c r="F16" s="1"/>
    </x:row>
    <x:row r="17" ht="22" customHeight="1">
      <x:c r="A17" s="1" t="str">
        <x:v>https://github.com/Guilou001/41-croissance-et-bourse/blob/main/docs/DONNEES.md</x:v>
      </x:c>
      <x:c r="B17" s="1"/>
      <x:c r="C17" s="1"/>
      <x:c r="D17" s="1"/>
      <x:c r="E17" s="1"/>
      <x:c r="F17" s="1"/>
    </x:row>
    <x:row r="18" ht="22" customHeight="1">
      <x:c r="A18" s="1"/>
      <x:c r="B18" s="1"/>
      <x:c r="C18" s="1"/>
      <x:c r="D18" s="1"/>
      <x:c r="E18" s="1"/>
      <x:c r="F18" s="1"/>
    </x:row>
    <x:row r="19" ht="22" customHeight="1">
      <x:c r="A19" s="1"/>
      <x:c r="B19" s="1"/>
      <x:c r="C19" s="1"/>
      <x:c r="D19" s="1"/>
      <x:c r="E19" s="1"/>
      <x:c r="F19" s="1"/>
    </x:row>
    <x:row r="20" ht="22" customHeight="1">
      <x:c r="A20" s="1"/>
      <x:c r="B20" s="1"/>
      <x:c r="C20" s="1"/>
      <x:c r="D20" s="1"/>
      <x:c r="E20" s="1"/>
      <x:c r="F2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2" customHeight="1">
      <x:c r="A1" s="1"/>
      <x:c r="B1" s="1"/>
      <x:c r="C1" s="1"/>
      <x:c r="D1" s="1"/>
      <x:c r="E1" s="1"/>
      <x:c r="F1" s="1"/>
    </x:row>
    <x:row r="2" ht="22" customHeight="1">
      <x:c r="A2" s="2" t="str">
        <x:v>Un pays qui s’enrichit enrichit-il ses actionnaires ?</x:v>
      </x:c>
      <x:c r="B2" s="1"/>
      <x:c r="C2" s="1"/>
      <x:c r="D2" s="1"/>
      <x:c r="E2" s="1"/>
      <x:c r="F2" s="1"/>
    </x:row>
    <x:row r="3" ht="22" customHeight="1">
      <x:c r="A3" s="1"/>
      <x:c r="B3" s="1"/>
      <x:c r="C3" s="1"/>
      <x:c r="D3" s="1"/>
      <x:c r="E3" s="1"/>
      <x:c r="F3" s="1"/>
    </x:row>
    <x:row r="4" ht="22" customHeight="1">
      <x:c r="A4" s="3" t="str">
        <x:v>Prévisions annuelles de 1985 à 2020, PIB révisé et décalé</x:v>
      </x:c>
      <x:c r="B4" s="1"/>
      <x:c r="C4" s="1"/>
      <x:c r="D4" s="1"/>
      <x:c r="E4" s="1"/>
      <x:c r="F4" s="1"/>
    </x:row>
    <x:row r="5" ht="22" customHeight="1">
      <x:c r="A5" s="1" t="str">
        <x:v>Les tableaux sont des résultats calculés. L’exemple contient des formules modifiables.</x:v>
      </x:c>
      <x:c r="B5" s="1"/>
      <x:c r="C5" s="1"/>
      <x:c r="D5" s="1"/>
      <x:c r="E5" s="1"/>
      <x:c r="F5" s="1"/>
    </x:row>
    <x:row r="6" ht="22" customHeight="1">
      <x:c r="A6" s="1"/>
      <x:c r="B6" s="1"/>
      <x:c r="C6" s="1"/>
      <x:c r="D6" s="1"/>
      <x:c r="E6" s="1"/>
      <x:c r="F6" s="1"/>
    </x:row>
    <x:row r="7" ht="62" customHeight="1">
      <x:c r="A7" s="8" t="str">
        <x:v>Pays</x:v>
      </x:c>
      <x:c r="B7" s="8" t="str">
        <x:v>Prévisions</x:v>
      </x:c>
      <x:c r="C7" s="8" t="str">
        <x:v>Réduction de l’erreur</x:v>
      </x:c>
      <x:c r="D7" s="8" t="str">
        <x:v>Erreur du modèle</x:v>
      </x:c>
      <x:c r="E7" s="8" t="str">
        <x:v>Erreur du repère</x:v>
      </x:c>
      <x:c r="F7" s="1"/>
    </x:row>
    <x:row r="8" ht="22" customHeight="1">
      <x:c r="A8" s="16" t="str">
        <x:v>Ensemble des pays</x:v>
      </x:c>
      <x:c r="B8" s="10" t="n">
        <x:v>576</x:v>
      </x:c>
      <x:c r="C8" s="18" t="n">
        <x:v>-0.005108282</x:v>
      </x:c>
      <x:c r="D8" s="18" t="n">
        <x:v>0.2513423625</x:v>
      </x:c>
      <x:c r="E8" s="18" t="n">
        <x:v>0.2507028477</x:v>
      </x:c>
      <x:c r="F8" s="1"/>
    </x:row>
    <x:row r="9" ht="22" customHeight="1">
      <x:c r="A9" s="19" t="str">
        <x:v>Australie</x:v>
      </x:c>
      <x:c r="B9" s="13" t="n">
        <x:v>36</x:v>
      </x:c>
      <x:c r="C9" s="20" t="n">
        <x:v>0.0072819736</x:v>
      </x:c>
      <x:c r="D9" s="20" t="n">
        <x:v>0.1720054779</x:v>
      </x:c>
      <x:c r="E9" s="20" t="n">
        <x:v>0.1726351888</x:v>
      </x:c>
      <x:c r="F9" s="1"/>
    </x:row>
    <x:row r="10" ht="22" customHeight="1">
      <x:c r="A10" s="16" t="str">
        <x:v>Belgique</x:v>
      </x:c>
      <x:c r="B10" s="10" t="n">
        <x:v>36</x:v>
      </x:c>
      <x:c r="C10" s="18" t="n">
        <x:v>0.019139446</x:v>
      </x:c>
      <x:c r="D10" s="18" t="n">
        <x:v>0.2434219438</x:v>
      </x:c>
      <x:c r="E10" s="18" t="n">
        <x:v>0.2457854055</x:v>
      </x:c>
      <x:c r="F10" s="1"/>
    </x:row>
    <x:row r="11" ht="22" customHeight="1">
      <x:c r="A11" s="19" t="str">
        <x:v>Suisse</x:v>
      </x:c>
      <x:c r="B11" s="13" t="n">
        <x:v>36</x:v>
      </x:c>
      <x:c r="C11" s="20" t="n">
        <x:v>-0.009309897</x:v>
      </x:c>
      <x:c r="D11" s="20" t="n">
        <x:v>0.2169111551</x:v>
      </x:c>
      <x:c r="E11" s="20" t="n">
        <x:v>0.2159084408</x:v>
      </x:c>
      <x:c r="F11" s="1"/>
    </x:row>
    <x:row r="12" ht="22" customHeight="1">
      <x:c r="A12" s="16" t="str">
        <x:v>Allemagne</x:v>
      </x:c>
      <x:c r="B12" s="10" t="n">
        <x:v>36</x:v>
      </x:c>
      <x:c r="C12" s="18" t="n">
        <x:v>-0.0657513636</x:v>
      </x:c>
      <x:c r="D12" s="18" t="n">
        <x:v>0.2417324212</x:v>
      </x:c>
      <x:c r="E12" s="18" t="n">
        <x:v>0.2341568966</x:v>
      </x:c>
      <x:c r="F12" s="1"/>
    </x:row>
    <x:row r="13" ht="22" customHeight="1">
      <x:c r="A13" s="19" t="str">
        <x:v>Danemark</x:v>
      </x:c>
      <x:c r="B13" s="13" t="n">
        <x:v>36</x:v>
      </x:c>
      <x:c r="C13" s="20" t="n">
        <x:v>-0.0516823388</x:v>
      </x:c>
      <x:c r="D13" s="20" t="n">
        <x:v>0.2129164544</x:v>
      </x:c>
      <x:c r="E13" s="20" t="n">
        <x:v>0.2076189236</x:v>
      </x:c>
      <x:c r="F13" s="1"/>
    </x:row>
    <x:row r="14" ht="22" customHeight="1">
      <x:c r="A14" s="16" t="str">
        <x:v>Espagne</x:v>
      </x:c>
      <x:c r="B14" s="10" t="n">
        <x:v>36</x:v>
      </x:c>
      <x:c r="C14" s="18" t="n">
        <x:v>0.0092560077</x:v>
      </x:c>
      <x:c r="D14" s="18" t="n">
        <x:v>0.2667320948</x:v>
      </x:c>
      <x:c r="E14" s="18" t="n">
        <x:v>0.2679751681</x:v>
      </x:c>
      <x:c r="F14" s="1"/>
    </x:row>
    <x:row r="15" ht="22" customHeight="1">
      <x:c r="A15" s="19" t="str">
        <x:v>Finlande</x:v>
      </x:c>
      <x:c r="B15" s="13" t="n">
        <x:v>36</x:v>
      </x:c>
      <x:c r="C15" s="20" t="n">
        <x:v>0.0111159052</x:v>
      </x:c>
      <x:c r="D15" s="20" t="n">
        <x:v>0.3931576659</x:v>
      </x:c>
      <x:c r="E15" s="20" t="n">
        <x:v>0.3953612054</x:v>
      </x:c>
      <x:c r="F15" s="1"/>
    </x:row>
    <x:row r="16" ht="22" customHeight="1">
      <x:c r="A16" s="16" t="str">
        <x:v>France</x:v>
      </x:c>
      <x:c r="B16" s="10" t="n">
        <x:v>36</x:v>
      </x:c>
      <x:c r="C16" s="18" t="n">
        <x:v>0.0756453334</x:v>
      </x:c>
      <x:c r="D16" s="18" t="n">
        <x:v>0.2354832438</x:v>
      </x:c>
      <x:c r="E16" s="18" t="n">
        <x:v>0.2449292714</x:v>
      </x:c>
      <x:c r="F16" s="1"/>
    </x:row>
    <x:row r="17" ht="22" customHeight="1">
      <x:c r="A17" s="19" t="str">
        <x:v>Royaume-Uni</x:v>
      </x:c>
      <x:c r="B17" s="13" t="n">
        <x:v>36</x:v>
      </x:c>
      <x:c r="C17" s="20" t="n">
        <x:v>-0.0694498214</x:v>
      </x:c>
      <x:c r="D17" s="20" t="n">
        <x:v>0.1534787637</x:v>
      </x:c>
      <x:c r="E17" s="20" t="n">
        <x:v>0.1484116817</x:v>
      </x:c>
      <x:c r="F17" s="1"/>
    </x:row>
    <x:row r="18" ht="22" customHeight="1">
      <x:c r="A18" s="16" t="str">
        <x:v>Italie</x:v>
      </x:c>
      <x:c r="B18" s="10" t="n">
        <x:v>36</x:v>
      </x:c>
      <x:c r="C18" s="18" t="n">
        <x:v>-0.0673686675</x:v>
      </x:c>
      <x:c r="D18" s="18" t="n">
        <x:v>0.2896702884</x:v>
      </x:c>
      <x:c r="E18" s="18" t="n">
        <x:v>0.2803798033</x:v>
      </x:c>
      <x:c r="F18" s="1"/>
    </x:row>
    <x:row r="19" ht="22" customHeight="1">
      <x:c r="A19" s="19" t="str">
        <x:v>Japon</x:v>
      </x:c>
      <x:c r="B19" s="13" t="n">
        <x:v>36</x:v>
      </x:c>
      <x:c r="C19" s="20" t="n">
        <x:v>-0.0196610657</x:v>
      </x:c>
      <x:c r="D19" s="20" t="n">
        <x:v>0.2207921386</x:v>
      </x:c>
      <x:c r="E19" s="20" t="n">
        <x:v>0.2186531245</x:v>
      </x:c>
      <x:c r="F19" s="1"/>
    </x:row>
    <x:row r="20" ht="22" customHeight="1">
      <x:c r="A20" s="16" t="str">
        <x:v>Pays-Bas</x:v>
      </x:c>
      <x:c r="B20" s="10" t="n">
        <x:v>36</x:v>
      </x:c>
      <x:c r="C20" s="18" t="n">
        <x:v>-0.0100504692</x:v>
      </x:c>
      <x:c r="D20" s="18" t="n">
        <x:v>0.2163878808</x:v>
      </x:c>
      <x:c r="E20" s="18" t="n">
        <x:v>0.2153086095</x:v>
      </x:c>
      <x:c r="F20" s="1"/>
    </x:row>
    <x:row r="21" ht="22" customHeight="1">
      <x:c r="A21" s="19" t="str">
        <x:v>Norvège</x:v>
      </x:c>
      <x:c r="B21" s="13" t="n">
        <x:v>36</x:v>
      </x:c>
      <x:c r="C21" s="20" t="n">
        <x:v>-0.0348878806</x:v>
      </x:c>
      <x:c r="D21" s="20" t="n">
        <x:v>0.2750136717</x:v>
      </x:c>
      <x:c r="E21" s="20" t="n">
        <x:v>0.2703383345</x:v>
      </x:c>
      <x:c r="F21" s="1"/>
    </x:row>
    <x:row r="22" ht="22" customHeight="1">
      <x:c r="A22" s="16" t="str">
        <x:v>Portugal</x:v>
      </x:c>
      <x:c r="B22" s="10" t="n">
        <x:v>36</x:v>
      </x:c>
      <x:c r="C22" s="18" t="n">
        <x:v>-0.0019769197</x:v>
      </x:c>
      <x:c r="D22" s="18" t="n">
        <x:v>0.3502819085</x:v>
      </x:c>
      <x:c r="E22" s="18" t="n">
        <x:v>0.3499361815</x:v>
      </x:c>
      <x:c r="F22" s="1"/>
    </x:row>
    <x:row r="23" ht="22" customHeight="1">
      <x:c r="A23" s="19" t="str">
        <x:v>Suède</x:v>
      </x:c>
      <x:c r="B23" s="13" t="n">
        <x:v>36</x:v>
      </x:c>
      <x:c r="C23" s="20" t="n">
        <x:v>0.0380156227</x:v>
      </x:c>
      <x:c r="D23" s="20" t="n">
        <x:v>0.2548374981</x:v>
      </x:c>
      <x:c r="E23" s="20" t="n">
        <x:v>0.2598240351</x:v>
      </x:c>
      <x:c r="F23" s="1"/>
    </x:row>
    <x:row r="24" ht="22" customHeight="1">
      <x:c r="A24" s="16" t="str">
        <x:v>États-Unis</x:v>
      </x:c>
      <x:c r="B24" s="10" t="n">
        <x:v>36</x:v>
      </x:c>
      <x:c r="C24" s="18" t="n">
        <x:v>0.0511395134</x:v>
      </x:c>
      <x:c r="D24" s="18" t="n">
        <x:v>0.15371493</x:v>
      </x:c>
      <x:c r="E24" s="18" t="n">
        <x:v>0.1578028603</x:v>
      </x:c>
      <x:c r="F24" s="1"/>
    </x:row>
    <x:row r="25" ht="22" customHeight="1">
      <x:c r="A25" s="1"/>
      <x:c r="B25" s="1"/>
      <x:c r="C25" s="1"/>
      <x:c r="D25" s="1"/>
      <x:c r="E25" s="1"/>
      <x:c r="F25" s="1"/>
    </x:row>
    <x:row r="26" ht="22" customHeight="1">
      <x:c r="A26" s="1"/>
      <x:c r="B26" s="1"/>
      <x:c r="C26" s="1"/>
      <x:c r="D26" s="1"/>
      <x:c r="E26" s="1"/>
      <x:c r="F26" s="1"/>
    </x:row>
    <x:row r="27" ht="22" customHeight="1">
      <x:c r="A27" s="1" t="str">
        <x:v>Sources, unités et conditions de réutilisation</x:v>
      </x:c>
      <x:c r="B27" s="1"/>
      <x:c r="C27" s="1"/>
      <x:c r="D27" s="1"/>
      <x:c r="E27" s="1"/>
      <x:c r="F27" s="1"/>
    </x:row>
    <x:row r="28" ht="22" customHeight="1">
      <x:c r="A28" s="1" t="str">
        <x:v>https://github.com/Guilou001/41-croissance-et-bourse/blob/main/docs/DONNEES.md</x:v>
      </x:c>
      <x:c r="B28" s="1"/>
      <x:c r="C28" s="1"/>
      <x:c r="D28" s="1"/>
      <x:c r="E28" s="1"/>
      <x:c r="F28" s="1"/>
    </x:row>
    <x:row r="29" ht="22" customHeight="1">
      <x:c r="A29" s="1"/>
      <x:c r="B29" s="1"/>
      <x:c r="C29" s="1"/>
      <x:c r="D29" s="1"/>
      <x:c r="E29" s="1"/>
      <x:c r="F29" s="1"/>
    </x:row>
    <x:row r="30" ht="22" customHeight="1">
      <x:c r="A30" s="1"/>
      <x:c r="B30" s="1"/>
      <x:c r="C30" s="1"/>
      <x:c r="D30" s="1"/>
      <x:c r="E30" s="1"/>
      <x:c r="F30" s="1"/>
    </x:row>
    <x:row r="31" ht="22" customHeight="1">
      <x:c r="A31" s="1"/>
      <x:c r="B31" s="1"/>
      <x:c r="C31" s="1"/>
      <x:c r="D31" s="1"/>
      <x:c r="E31" s="1"/>
      <x:c r="F31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23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</x:row>
    <x:row r="2" ht="22" customHeight="1">
      <x:c r="A2" s="2" t="str">
        <x:v>Croissance composée et correction de l’inflation</x:v>
      </x:c>
      <x:c r="B2" s="1"/>
      <x:c r="C2" s="1"/>
      <x:c r="D2" s="1"/>
      <x:c r="E2" s="1"/>
      <x:c r="F2" s="1"/>
      <x:c r="G2" s="1"/>
    </x:row>
    <x:row r="3" ht="22" customHeight="1">
      <x:c r="A3" s="1"/>
      <x:c r="B3" s="1"/>
      <x:c r="C3" s="1"/>
      <x:c r="D3" s="1"/>
      <x:c r="E3" s="1"/>
      <x:c r="F3" s="1"/>
      <x:c r="G3" s="1"/>
    </x:row>
    <x:row r="4" ht="22" customHeight="1">
      <x:c r="A4" s="3" t="str">
        <x:v>Les entrées bleues peuvent être modifiées. Les cellules noires recalculent.</x:v>
      </x:c>
      <x:c r="B4" s="1"/>
      <x:c r="C4" s="1"/>
      <x:c r="D4" s="1"/>
      <x:c r="E4" s="1"/>
      <x:c r="F4" s="1"/>
      <x:c r="G4" s="1"/>
    </x:row>
    <x:row r="5" ht="22" customHeight="1">
      <x:c r="A5" s="1" t="str">
        <x:v>Bleu, hypothèse modifiable. Noir, résultat recalculé par une formule.</x:v>
      </x:c>
      <x:c r="B5" s="1"/>
      <x:c r="C5" s="1"/>
      <x:c r="D5" s="1"/>
      <x:c r="E5" s="1"/>
      <x:c r="F5" s="1"/>
      <x:c r="G5" s="1"/>
    </x:row>
    <x:row r="6" ht="22" customHeight="1">
      <x:c r="A6" s="1"/>
      <x:c r="B6" s="1"/>
      <x:c r="C6" s="1"/>
      <x:c r="D6" s="1"/>
      <x:c r="E6" s="1"/>
      <x:c r="F6" s="1"/>
      <x:c r="G6" s="1"/>
    </x:row>
    <x:row r="7" ht="22" customHeight="1">
      <x:c r="A7" s="1" t="str">
        <x:v>Rendement de la première année</x:v>
      </x:c>
      <x:c r="B7" s="23" t="n">
        <x:v>-0.2</x:v>
      </x:c>
      <x:c r="C7" s="1"/>
      <x:c r="D7" s="1"/>
      <x:c r="E7" s="1"/>
      <x:c r="F7" s="1"/>
      <x:c r="G7" s="1"/>
    </x:row>
    <x:row r="8" ht="22" customHeight="1">
      <x:c r="A8" s="1" t="str">
        <x:v>Rendement de la deuxième année</x:v>
      </x:c>
      <x:c r="B8" s="23" t="n">
        <x:v>0.25</x:v>
      </x:c>
      <x:c r="C8" s="1"/>
      <x:c r="D8" s="1"/>
      <x:c r="E8" s="1"/>
      <x:c r="F8" s="1"/>
      <x:c r="G8" s="1"/>
    </x:row>
    <x:row r="9" ht="22" customHeight="1">
      <x:c r="A9" s="1"/>
      <x:c r="B9" s="1"/>
      <x:c r="C9" s="1"/>
      <x:c r="D9" s="1"/>
      <x:c r="E9" s="1"/>
      <x:c r="F9" s="1"/>
      <x:c r="G9" s="1"/>
    </x:row>
    <x:row r="10" ht="22" customHeight="1">
      <x:c r="A10" s="1" t="str">
        <x:v>Moyenne arithmétique</x:v>
      </x:c>
      <x:c r="B10" s="25" t="n">
        <x:f>(B7+B8)/2</x:f>
        <x:v>0.024999999999999994</x:v>
      </x:c>
      <x:c r="C10" s="1"/>
      <x:c r="D10" s="1"/>
      <x:c r="E10" s="1"/>
      <x:c r="F10" s="1"/>
      <x:c r="G10" s="1"/>
    </x:row>
    <x:row r="11" ht="22" customHeight="1">
      <x:c r="A11" s="1" t="str">
        <x:v>Moyenne composée</x:v>
      </x:c>
      <x:c r="B11" s="25" t="n">
        <x:f>SQRT((1+B7)*(1+B8))-1</x:f>
        <x:v>0</x:v>
      </x:c>
      <x:c r="C11" s="1"/>
      <x:c r="D11" s="1"/>
      <x:c r="E11" s="1"/>
      <x:c r="F11" s="1"/>
      <x:c r="G11" s="1"/>
    </x:row>
    <x:row r="12" ht="22" customHeight="1">
      <x:c r="A12" s="1"/>
      <x:c r="B12" s="1"/>
      <x:c r="C12" s="1"/>
      <x:c r="D12" s="1"/>
      <x:c r="E12" s="1"/>
      <x:c r="F12" s="1"/>
      <x:c r="G12" s="1"/>
    </x:row>
    <x:row r="13" ht="22" customHeight="1">
      <x:c r="A13" s="1"/>
      <x:c r="B13" s="1"/>
      <x:c r="C13" s="1"/>
      <x:c r="D13" s="1"/>
      <x:c r="E13" s="1"/>
      <x:c r="F13" s="1"/>
      <x:c r="G13" s="1"/>
    </x:row>
    <x:row r="14" ht="22" customHeight="1">
      <x:c r="A14" s="1" t="str">
        <x:v>Rendement nominal</x:v>
      </x:c>
      <x:c r="B14" s="23" t="n">
        <x:v>0.2</x:v>
      </x:c>
      <x:c r="C14" s="1"/>
      <x:c r="D14" s="1"/>
      <x:c r="E14" s="1"/>
      <x:c r="F14" s="1"/>
      <x:c r="G14" s="1"/>
    </x:row>
    <x:row r="15" ht="22" customHeight="1">
      <x:c r="A15" s="1" t="str">
        <x:v>Inflation</x:v>
      </x:c>
      <x:c r="B15" s="23" t="n">
        <x:v>0.1</x:v>
      </x:c>
      <x:c r="C15" s="1"/>
      <x:c r="D15" s="1"/>
      <x:c r="E15" s="1"/>
      <x:c r="F15" s="1"/>
      <x:c r="G15" s="1"/>
    </x:row>
    <x:row r="16" ht="22" customHeight="1">
      <x:c r="A16" s="1"/>
      <x:c r="B16" s="1"/>
      <x:c r="C16" s="1"/>
      <x:c r="D16" s="1"/>
      <x:c r="E16" s="1"/>
      <x:c r="F16" s="1"/>
      <x:c r="G16" s="1"/>
    </x:row>
    <x:row r="17" ht="22" customHeight="1">
      <x:c r="A17" s="1" t="str">
        <x:v>Rendement réel exact</x:v>
      </x:c>
      <x:c r="B17" s="25" t="n">
        <x:f>(1+B14)/(1+B15)-1</x:f>
        <x:v>0.09090909090909083</x:v>
      </x:c>
      <x:c r="C17" s="1"/>
      <x:c r="D17" s="1"/>
      <x:c r="E17" s="1"/>
      <x:c r="F17" s="1"/>
      <x:c r="G17" s="1"/>
    </x:row>
    <x:row r="18" ht="22" customHeight="1">
      <x:c r="A18" s="1"/>
      <x:c r="B18" s="1"/>
      <x:c r="C18" s="1"/>
      <x:c r="D18" s="1"/>
      <x:c r="E18" s="1"/>
      <x:c r="F18" s="1"/>
      <x:c r="G18" s="1"/>
    </x:row>
    <x:row r="19" ht="22" customHeight="1">
      <x:c r="A19" s="1"/>
      <x:c r="B19" s="1"/>
      <x:c r="C19" s="1"/>
      <x:c r="D19" s="1"/>
      <x:c r="E19" s="1"/>
      <x:c r="F19" s="1"/>
      <x:c r="G19" s="1"/>
    </x:row>
    <x:row r="20" ht="22" customHeight="1">
      <x:c r="A20" s="1"/>
      <x:c r="B20" s="1"/>
      <x:c r="C20" s="1"/>
      <x:c r="D20" s="1"/>
      <x:c r="E20" s="1"/>
      <x:c r="F20" s="1"/>
      <x:c r="G20" s="1"/>
    </x:row>
    <x:row r="21" ht="22" customHeight="1">
      <x:c r="A21" s="1" t="str">
        <x:v>Exemple arithmétique du projet, distinct des résultats historiques.</x:v>
      </x:c>
      <x:c r="B21" s="1"/>
      <x:c r="C21" s="1"/>
      <x:c r="D21" s="1"/>
      <x:c r="E21" s="1"/>
      <x:c r="F21" s="1"/>
      <x:c r="G21" s="1"/>
    </x:row>
    <x:row r="22" ht="22" customHeight="1">
      <x:c r="A22" s="1"/>
      <x:c r="B22" s="1"/>
      <x:c r="C22" s="1"/>
      <x:c r="D22" s="1"/>
      <x:c r="E22" s="1"/>
      <x:c r="F22" s="1"/>
      <x:c r="G22" s="1"/>
    </x:row>
    <x:row r="23" ht="22" customHeight="1">
      <x:c r="A23" s="1" t="str">
        <x:v>https://github.com/Guilou001/41-croissance-et-bourse/blob/main/docs/COMPRENDRE.md</x:v>
      </x:c>
      <x:c r="B23" s="1"/>
      <x:c r="C23" s="1"/>
      <x:c r="D23" s="1"/>
      <x:c r="E23" s="1"/>
      <x:c r="F23" s="1"/>
      <x:c r="G23" s="1"/>
    </x:row>
    <x:row r="24" ht="22" customHeight="1">
      <x:c r="A24" s="1"/>
      <x:c r="B24" s="1"/>
      <x:c r="C24" s="1"/>
      <x:c r="D24" s="1"/>
      <x:c r="E24" s="1"/>
      <x:c r="F24" s="1"/>
      <x:c r="G24" s="1"/>
    </x:row>
    <x:row r="25" ht="22" customHeight="1">
      <x:c r="A25" s="1"/>
      <x:c r="B25" s="1"/>
      <x:c r="C25" s="1"/>
      <x:c r="D25" s="1"/>
      <x:c r="E25" s="1"/>
      <x:c r="F25" s="1"/>
      <x:c r="G25" s="1"/>
    </x:row>
    <x:row r="26" ht="22" customHeight="1">
      <x:c r="A26" s="1"/>
      <x:c r="B26" s="1"/>
      <x:c r="C26" s="1"/>
      <x:c r="D26" s="1"/>
      <x:c r="E26" s="1"/>
      <x:c r="F26" s="1"/>
      <x:c r="G26" s="1"/>
    </x:row>
  </x:sheetData>
  <x:pageMargins left="0.7" right="0.7" top="0.75" bottom="0.75" header="0.3" footer="0.3"/>
</x:worksheet>
</file>